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76pdt\Documents\GitHub\ICT_106\Document\"/>
    </mc:Choice>
  </mc:AlternateContent>
  <xr:revisionPtr revIDLastSave="0" documentId="13_ncr:1_{F2EE1F30-FEA3-4F84-8C90-607F8F858A0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" i="159" l="1"/>
  <c r="D1" i="159"/>
  <c r="D20" i="159" s="1"/>
  <c r="D39" i="159" s="1"/>
  <c r="D59" i="159" s="1"/>
  <c r="D78" i="159" s="1"/>
  <c r="D97" i="159" s="1"/>
  <c r="D116" i="159" s="1"/>
  <c r="B133" i="159"/>
  <c r="B114" i="159"/>
  <c r="B95" i="159"/>
  <c r="B57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<sst xmlns="http://schemas.openxmlformats.org/spreadsheetml/2006/main" count="130" uniqueCount="52">
  <si>
    <t>Module :</t>
  </si>
  <si>
    <t>Prénom - nom :</t>
  </si>
  <si>
    <t>Alexandre Dürrenmatt</t>
  </si>
  <si>
    <t>Classe :</t>
  </si>
  <si>
    <t>CIN2A</t>
  </si>
  <si>
    <t>Lieu :</t>
  </si>
  <si>
    <t>ETML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</si>
  <si>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</si>
  <si>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</si>
  <si>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</si>
  <si>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</si>
  <si>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</si>
  <si>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</si>
  <si>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</si>
  <si>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</si>
  <si>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</si>
  <si>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</si>
  <si>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</si>
  <si>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</si>
  <si>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</si>
  <si>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</si>
  <si>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</si>
  <si>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</si>
  <si>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</si>
  <si>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</si>
  <si>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</si>
  <si>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Max. 12</t>
  </si>
  <si>
    <t>Liste des tâches</t>
  </si>
  <si>
    <t>Tâche obligatoire:</t>
  </si>
  <si>
    <t>Documentation</t>
  </si>
  <si>
    <t>Journal de travail</t>
  </si>
  <si>
    <t>Base de données</t>
  </si>
  <si>
    <t>Git-Hub</t>
  </si>
  <si>
    <t>Maladie</t>
  </si>
  <si>
    <t>Test d'apptitude</t>
  </si>
  <si>
    <t>Looping</t>
  </si>
  <si>
    <t xml:space="preserve">SpicyInvader </t>
  </si>
  <si>
    <t>Théorie</t>
  </si>
  <si>
    <t>Requète SQL</t>
  </si>
  <si>
    <t>Max. 27</t>
  </si>
  <si>
    <t>Faire le backup/restore demandé dans le cahier des charges.</t>
  </si>
  <si>
    <t>Réponse aux questions sur l'index du cahier des charges dans la documention.</t>
  </si>
  <si>
    <t>Execution des requètes demandés de 4 à 10 et les mettre dans la documentation.</t>
  </si>
  <si>
    <t>Execution des requètes 1,2 et 3 demandé dans le cahier des charges.</t>
  </si>
  <si>
    <t>Création des utilisateurs et de leurs privilèges.</t>
  </si>
  <si>
    <t>Insertion de 50 données par table.</t>
  </si>
  <si>
    <t>Création de la base de données et des tables.</t>
  </si>
  <si>
    <t>Création de la documentation et ajout de plusieurs captures d'écran du looping et de la base de données.</t>
  </si>
  <si>
    <t>Création du journal de travaille.</t>
  </si>
  <si>
    <t>Création de mon repository dans GitHub.</t>
  </si>
  <si>
    <t>Création du Looping comme demandé.</t>
  </si>
  <si>
    <t>Remplir le 11.12 et aujourd'hui.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</si>
</sst>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0" xfId="0" applyFill="1"/>
    <xf numFmtId="0" fontId="0" fillId="8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9" borderId="30" xfId="0" applyFont="1" applyFill="1" applyBorder="1" applyAlignment="1">
      <alignment horizontal="right" vertical="center" wrapText="1" indent="1"/>
    </xf>
    <xf numFmtId="0" fontId="3" fillId="9" borderId="31" xfId="0" applyFont="1" applyFill="1" applyBorder="1" applyAlignment="1">
      <alignment horizontal="right" vertical="center" indent="1"/>
    </xf>
    <xf numFmtId="1" fontId="3" fillId="9" borderId="29" xfId="0" applyNumberFormat="1" applyFont="1" applyFill="1" applyBorder="1" applyAlignment="1">
      <alignment horizontal="center" vertical="center"/>
    </xf>
    <xf numFmtId="1" fontId="3" fillId="9" borderId="32" xfId="0" applyNumberFormat="1" applyFont="1" applyFill="1" applyBorder="1" applyAlignment="1">
      <alignment horizontal="center" vertical="center"/>
    </xf>
    <xf numFmtId="0" fontId="0" fillId="8" borderId="8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14" xfId="0" applyFont="1" applyFill="1" applyBorder="1" applyAlignment="1">
      <alignment horizontal="center" vertical="center"/>
    </xf>
    <xf numFmtId="0" fontId="7" fillId="12" borderId="12" xfId="0" quotePrefix="1" applyFont="1" applyFill="1" applyBorder="1" applyAlignment="1">
      <alignment horizontal="centerContinuous" vertical="center"/>
    </xf>
    <xf numFmtId="0" fontId="6" fillId="12" borderId="14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11" borderId="13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13" xfId="0" applyNumberFormat="1" applyFont="1" applyFill="1" applyBorder="1" applyAlignment="1" applyProtection="1">
      <alignment horizontal="left" vertical="center"/>
      <protection locked="0"/>
    </xf>
    <xf numFmtId="0" fontId="13" fillId="8" borderId="6" xfId="0" applyFont="1" applyFill="1" applyBorder="1"/>
    <xf numFmtId="0" fontId="8" fillId="8" borderId="4" xfId="0" applyFont="1" applyFill="1" applyBorder="1"/>
    <xf numFmtId="0" fontId="8" fillId="8" borderId="7" xfId="0" applyFont="1" applyFill="1" applyBorder="1"/>
    <xf numFmtId="0" fontId="8" fillId="0" borderId="0" xfId="0" applyFont="1"/>
    <xf numFmtId="0" fontId="13" fillId="8" borderId="8" xfId="0" applyFont="1" applyFill="1" applyBorder="1"/>
    <xf numFmtId="0" fontId="8" fillId="8" borderId="0" xfId="0" applyFont="1" applyFill="1"/>
    <xf numFmtId="0" fontId="8" fillId="8" borderId="9" xfId="0" applyFont="1" applyFill="1" applyBorder="1"/>
    <xf numFmtId="0" fontId="13" fillId="8" borderId="10" xfId="0" applyFont="1" applyFill="1" applyBorder="1"/>
    <xf numFmtId="0" fontId="8" fillId="8" borderId="5" xfId="0" applyFont="1" applyFill="1" applyBorder="1"/>
    <xf numFmtId="0" fontId="8" fillId="8" borderId="11" xfId="0" applyFont="1" applyFill="1" applyBorder="1"/>
    <xf numFmtId="0" fontId="8" fillId="8" borderId="6" xfId="0" applyFont="1" applyFill="1" applyBorder="1"/>
    <xf numFmtId="0" fontId="8" fillId="8" borderId="8" xfId="0" applyFont="1" applyFill="1" applyBorder="1"/>
    <xf numFmtId="0" fontId="8" fillId="8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8" borderId="0" xfId="0" applyFont="1" applyFill="1"/>
    <xf numFmtId="0" fontId="8" fillId="13" borderId="15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left" vertical="top" wrapText="1"/>
    </xf>
    <xf numFmtId="0" fontId="8" fillId="13" borderId="13" xfId="0" applyFont="1" applyFill="1" applyBorder="1" applyAlignment="1">
      <alignment horizontal="left" vertical="top" wrapText="1"/>
    </xf>
    <xf numFmtId="0" fontId="6" fillId="13" borderId="15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/>
    </xf>
    <xf numFmtId="0" fontId="14" fillId="13" borderId="8" xfId="0" applyFont="1" applyFill="1" applyBorder="1" applyAlignment="1">
      <alignment horizontal="right" vertical="center"/>
    </xf>
    <xf numFmtId="0" fontId="14" fillId="13" borderId="17" xfId="0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right" vertical="center"/>
    </xf>
    <xf numFmtId="164" fontId="15" fillId="13" borderId="25" xfId="0" applyNumberFormat="1" applyFont="1" applyFill="1" applyBorder="1" applyAlignment="1">
      <alignment horizontal="left" vertical="center" indent="2"/>
    </xf>
    <xf numFmtId="0" fontId="15" fillId="13" borderId="10" xfId="0" applyFont="1" applyFill="1" applyBorder="1" applyAlignment="1">
      <alignment vertical="center"/>
    </xf>
    <xf numFmtId="0" fontId="14" fillId="13" borderId="17" xfId="0" applyFont="1" applyFill="1" applyBorder="1" applyAlignment="1">
      <alignment vertical="center"/>
    </xf>
    <xf numFmtId="0" fontId="14" fillId="13" borderId="24" xfId="0" applyFont="1" applyFill="1" applyBorder="1" applyAlignment="1">
      <alignment vertical="center"/>
    </xf>
    <xf numFmtId="0" fontId="14" fillId="13" borderId="16" xfId="0" applyFont="1" applyFill="1" applyBorder="1" applyAlignment="1">
      <alignment vertical="center"/>
    </xf>
    <xf numFmtId="0" fontId="14" fillId="13" borderId="18" xfId="0" applyFont="1" applyFill="1" applyBorder="1" applyAlignment="1">
      <alignment vertical="center"/>
    </xf>
    <xf numFmtId="0" fontId="15" fillId="15" borderId="21" xfId="0" applyFont="1" applyFill="1" applyBorder="1" applyAlignment="1" applyProtection="1">
      <alignment horizontal="left" vertical="center" indent="2"/>
      <protection locked="0"/>
    </xf>
    <xf numFmtId="0" fontId="15" fillId="15" borderId="22" xfId="0" applyFont="1" applyFill="1" applyBorder="1" applyAlignment="1" applyProtection="1">
      <alignment horizontal="left" vertical="center" indent="2"/>
      <protection locked="0"/>
    </xf>
    <xf numFmtId="0" fontId="15" fillId="15" borderId="23" xfId="0" applyFont="1" applyFill="1" applyBorder="1" applyAlignment="1" applyProtection="1">
      <alignment horizontal="left" vertical="center" indent="2"/>
      <protection locked="0"/>
    </xf>
    <xf numFmtId="164" fontId="15" fillId="15" borderId="21" xfId="0" applyNumberFormat="1" applyFont="1" applyFill="1" applyBorder="1" applyAlignment="1" applyProtection="1">
      <alignment horizontal="left" vertical="center" indent="2"/>
      <protection locked="0"/>
    </xf>
    <xf numFmtId="164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2" xfId="0" applyNumberFormat="1" applyFont="1" applyFill="1" applyBorder="1" applyAlignment="1" applyProtection="1">
      <alignment horizontal="left" vertical="center" indent="2"/>
      <protection locked="0"/>
    </xf>
    <xf numFmtId="0" fontId="15" fillId="15" borderId="26" xfId="0" applyFont="1" applyFill="1" applyBorder="1" applyAlignment="1">
      <alignment vertical="center"/>
    </xf>
    <xf numFmtId="1" fontId="15" fillId="15" borderId="23" xfId="0" applyNumberFormat="1" applyFont="1" applyFill="1" applyBorder="1" applyAlignment="1" applyProtection="1">
      <alignment horizontal="left" vertical="center" indent="2"/>
      <protection locked="0"/>
    </xf>
    <xf numFmtId="0" fontId="14" fillId="13" borderId="14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0" fontId="7" fillId="15" borderId="12" xfId="0" quotePrefix="1" applyFont="1" applyFill="1" applyBorder="1" applyAlignment="1">
      <alignment horizontal="centerContinuous" vertical="center"/>
    </xf>
    <xf numFmtId="0" fontId="6" fillId="15" borderId="14" xfId="0" applyFont="1" applyFill="1" applyBorder="1" applyAlignment="1">
      <alignment horizontal="right" vertical="center"/>
    </xf>
    <xf numFmtId="164" fontId="7" fillId="15" borderId="13" xfId="0" applyNumberFormat="1" applyFont="1" applyFill="1" applyBorder="1" applyAlignment="1" applyProtection="1">
      <alignment horizontal="left" vertical="center"/>
      <protection locked="0"/>
    </xf>
    <xf numFmtId="0" fontId="8" fillId="8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4" xfId="0" applyFont="1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82" t="s">
        <v>0</v>
      </c>
      <c r="C3" s="84" t="s">
        <v>36</v>
      </c>
      <c r="D3" s="59"/>
      <c r="E3" s="59"/>
      <c r="F3" s="59"/>
      <c r="G3" s="60"/>
    </row>
    <row r="4" spans="1:7" ht="20.25" x14ac:dyDescent="0.25">
      <c r="A4" s="58"/>
      <c r="B4" s="80" t="s">
        <v>1</v>
      </c>
      <c r="C4" s="85" t="s">
        <v>2</v>
      </c>
      <c r="D4" s="59"/>
      <c r="E4" s="59"/>
      <c r="F4" s="59"/>
      <c r="G4" s="60"/>
    </row>
    <row r="5" spans="1:7" ht="20.25" x14ac:dyDescent="0.25">
      <c r="A5" s="58"/>
      <c r="B5" s="80" t="s">
        <v>3</v>
      </c>
      <c r="C5" s="85" t="s">
        <v>4</v>
      </c>
      <c r="D5" s="59"/>
      <c r="E5" s="59"/>
      <c r="F5" s="59"/>
      <c r="G5" s="60"/>
    </row>
    <row r="6" spans="1:7" ht="21" thickBot="1" x14ac:dyDescent="0.3">
      <c r="A6" s="58"/>
      <c r="B6" s="83" t="s">
        <v>5</v>
      </c>
      <c r="C6" s="8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82" t="s">
        <v>7</v>
      </c>
      <c r="C9" s="87">
        <v>45602</v>
      </c>
      <c r="D9" s="59"/>
      <c r="E9" s="59"/>
      <c r="F9" s="59"/>
      <c r="G9" s="60"/>
    </row>
    <row r="10" spans="1:7" ht="20.25" x14ac:dyDescent="0.25">
      <c r="A10" s="58"/>
      <c r="B10" s="81" t="s">
        <v>8</v>
      </c>
      <c r="C10" s="88">
        <v>45665</v>
      </c>
      <c r="D10" s="59"/>
      <c r="E10" s="59"/>
      <c r="F10" s="59"/>
      <c r="G10" s="60"/>
    </row>
    <row r="11" spans="1:7" ht="20.25" x14ac:dyDescent="0.25">
      <c r="A11" s="58"/>
      <c r="B11" s="81" t="s">
        <v>9</v>
      </c>
      <c r="C11" s="89">
        <v>9</v>
      </c>
      <c r="D11" s="59"/>
      <c r="E11" s="59"/>
      <c r="F11" s="59"/>
      <c r="G11" s="60"/>
    </row>
    <row r="12" spans="1:7" ht="20.25" x14ac:dyDescent="0.25">
      <c r="A12" s="58"/>
      <c r="B12" s="80" t="s">
        <v>10</v>
      </c>
      <c r="C12" s="90">
        <v>4</v>
      </c>
      <c r="D12" s="59"/>
      <c r="E12" s="59"/>
      <c r="F12" s="59"/>
      <c r="G12" s="60"/>
    </row>
    <row r="13" spans="1:7" ht="20.25" x14ac:dyDescent="0.25">
      <c r="A13" s="58"/>
      <c r="B13" s="80" t="s">
        <v>11</v>
      </c>
      <c r="C13" s="90">
        <v>3</v>
      </c>
      <c r="D13" s="59"/>
      <c r="E13" s="59"/>
      <c r="F13" s="59"/>
      <c r="G13" s="60"/>
    </row>
    <row r="14" spans="1:7" ht="20.25" thickBot="1" x14ac:dyDescent="0.3">
      <c r="A14" s="58"/>
      <c r="B14" s="79"/>
      <c r="C14" s="91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61"/>
      <c r="B16" s="62"/>
      <c r="C16" s="62"/>
      <c r="D16" s="62"/>
      <c r="E16" s="62"/>
      <c r="F16" s="62"/>
      <c r="G16" s="63"/>
    </row>
    <row r="17" spans="1:7" x14ac:dyDescent="0.25">
      <c r="A17" s="64"/>
      <c r="B17" s="55"/>
      <c r="C17" s="55"/>
      <c r="D17" s="55"/>
      <c r="E17" s="55"/>
      <c r="F17" s="55"/>
      <c r="G17" s="56"/>
    </row>
    <row r="18" spans="1:7" ht="14.25" thickBot="1" x14ac:dyDescent="0.3">
      <c r="A18" s="65"/>
      <c r="B18" s="59"/>
      <c r="C18" s="59"/>
      <c r="D18" s="59"/>
      <c r="E18" s="59"/>
      <c r="F18" s="59"/>
      <c r="G18" s="60"/>
    </row>
    <row r="19" spans="1:7" ht="21" thickBot="1" x14ac:dyDescent="0.3">
      <c r="A19" s="65"/>
      <c r="B19" s="93" t="s">
        <v>27</v>
      </c>
      <c r="C19" s="94"/>
      <c r="D19" s="59"/>
      <c r="E19" s="59"/>
      <c r="F19" s="59"/>
      <c r="G19" s="60"/>
    </row>
    <row r="20" spans="1:7" ht="20.25" x14ac:dyDescent="0.25">
      <c r="A20" s="65"/>
      <c r="B20" s="77" t="s">
        <v>28</v>
      </c>
      <c r="C20" s="78" t="s">
        <v>13</v>
      </c>
      <c r="D20" s="59"/>
      <c r="E20" s="59"/>
      <c r="F20" s="59"/>
      <c r="G20" s="60"/>
    </row>
    <row r="21" spans="1:7" ht="20.25" x14ac:dyDescent="0.25">
      <c r="A21" s="65"/>
      <c r="B21" s="77">
        <v>1</v>
      </c>
      <c r="C21" s="88" t="s">
        <v>29</v>
      </c>
      <c r="D21" s="59"/>
      <c r="E21" s="59"/>
      <c r="F21" s="59"/>
      <c r="G21" s="60"/>
    </row>
    <row r="22" spans="1:7" ht="20.25" x14ac:dyDescent="0.25">
      <c r="A22" s="65"/>
      <c r="B22" s="77">
        <v>2</v>
      </c>
      <c r="C22" s="89" t="s">
        <v>30</v>
      </c>
      <c r="D22" s="59"/>
      <c r="E22" s="59"/>
      <c r="F22" s="59"/>
      <c r="G22" s="60"/>
    </row>
    <row r="23" spans="1:7" ht="20.25" x14ac:dyDescent="0.25">
      <c r="A23" s="65"/>
      <c r="B23" s="76">
        <v>3</v>
      </c>
      <c r="C23" s="89" t="s">
        <v>31</v>
      </c>
      <c r="D23" s="59"/>
      <c r="E23" s="59"/>
      <c r="F23" s="59"/>
      <c r="G23" s="60"/>
    </row>
    <row r="24" spans="1:7" ht="20.25" x14ac:dyDescent="0.25">
      <c r="A24" s="65"/>
      <c r="B24" s="77">
        <v>4</v>
      </c>
      <c r="C24" s="89" t="s">
        <v>32</v>
      </c>
      <c r="D24" s="59"/>
      <c r="E24" s="59"/>
      <c r="F24" s="59"/>
      <c r="G24" s="60"/>
    </row>
    <row r="25" spans="1:7" ht="20.25" x14ac:dyDescent="0.25">
      <c r="A25" s="65"/>
      <c r="B25" s="77">
        <v>5</v>
      </c>
      <c r="C25" s="89" t="s">
        <v>35</v>
      </c>
      <c r="D25" s="59"/>
      <c r="E25" s="59"/>
      <c r="F25" s="59"/>
      <c r="G25" s="60"/>
    </row>
    <row r="26" spans="1:7" ht="20.25" x14ac:dyDescent="0.25">
      <c r="A26" s="65"/>
      <c r="B26" s="76">
        <v>6</v>
      </c>
      <c r="C26" s="89" t="s">
        <v>38</v>
      </c>
      <c r="D26" s="59"/>
      <c r="E26" s="59"/>
      <c r="F26" s="59"/>
      <c r="G26" s="60"/>
    </row>
    <row r="27" spans="1:7" ht="20.25" x14ac:dyDescent="0.25">
      <c r="A27" s="65"/>
      <c r="B27" s="77">
        <v>7</v>
      </c>
      <c r="C27" s="89"/>
      <c r="D27" s="59"/>
      <c r="E27" s="59"/>
      <c r="F27" s="59"/>
      <c r="G27" s="60"/>
    </row>
    <row r="28" spans="1:7" ht="20.25" x14ac:dyDescent="0.25">
      <c r="A28" s="65"/>
      <c r="B28" s="77">
        <v>8</v>
      </c>
      <c r="C28" s="90"/>
      <c r="D28" s="59"/>
      <c r="E28" s="59"/>
      <c r="F28" s="59"/>
      <c r="G28" s="60"/>
    </row>
    <row r="29" spans="1:7" ht="20.25" x14ac:dyDescent="0.25">
      <c r="A29" s="65"/>
      <c r="B29" s="76">
        <v>9</v>
      </c>
      <c r="C29" s="90"/>
      <c r="D29" s="59"/>
      <c r="E29" s="59"/>
      <c r="F29" s="59"/>
      <c r="G29" s="60"/>
    </row>
    <row r="30" spans="1:7" ht="20.25" x14ac:dyDescent="0.25">
      <c r="A30" s="65"/>
      <c r="B30" s="77">
        <v>10</v>
      </c>
      <c r="C30" s="89"/>
      <c r="D30" s="59"/>
      <c r="E30" s="59"/>
      <c r="F30" s="59"/>
      <c r="G30" s="60"/>
    </row>
    <row r="31" spans="1:7" ht="20.25" x14ac:dyDescent="0.25">
      <c r="A31" s="65"/>
      <c r="B31" s="77">
        <v>11</v>
      </c>
      <c r="C31" s="89"/>
      <c r="D31" s="59"/>
      <c r="E31" s="59"/>
      <c r="F31" s="59"/>
      <c r="G31" s="60"/>
    </row>
    <row r="32" spans="1:7" ht="20.25" x14ac:dyDescent="0.25">
      <c r="A32" s="65"/>
      <c r="B32" s="76">
        <v>12</v>
      </c>
      <c r="C32" s="89"/>
      <c r="D32" s="59"/>
      <c r="E32" s="59"/>
      <c r="F32" s="59"/>
      <c r="G32" s="60"/>
    </row>
    <row r="33" spans="1:7" ht="20.25" x14ac:dyDescent="0.25">
      <c r="A33" s="65"/>
      <c r="B33" s="77">
        <v>13</v>
      </c>
      <c r="C33" s="89"/>
      <c r="D33" s="59"/>
      <c r="E33" s="59"/>
      <c r="F33" s="59"/>
      <c r="G33" s="60"/>
    </row>
    <row r="34" spans="1:7" ht="20.25" x14ac:dyDescent="0.25">
      <c r="A34" s="65"/>
      <c r="B34" s="77">
        <v>14</v>
      </c>
      <c r="C34" s="90"/>
      <c r="D34" s="59"/>
      <c r="E34" s="59"/>
      <c r="F34" s="59"/>
      <c r="G34" s="60"/>
    </row>
    <row r="35" spans="1:7" ht="20.25" x14ac:dyDescent="0.25">
      <c r="A35" s="65"/>
      <c r="B35" s="76">
        <v>15</v>
      </c>
      <c r="C35" s="90"/>
      <c r="D35" s="59"/>
      <c r="E35" s="59"/>
      <c r="F35" s="59"/>
      <c r="G35" s="60"/>
    </row>
    <row r="36" spans="1:7" ht="20.25" x14ac:dyDescent="0.25">
      <c r="A36" s="65"/>
      <c r="B36" s="77">
        <v>16</v>
      </c>
      <c r="C36" s="89"/>
      <c r="D36" s="59"/>
      <c r="E36" s="59"/>
      <c r="F36" s="59"/>
      <c r="G36" s="60"/>
    </row>
    <row r="37" spans="1:7" ht="20.25" x14ac:dyDescent="0.25">
      <c r="A37" s="65"/>
      <c r="B37" s="77">
        <v>17</v>
      </c>
      <c r="C37" s="89"/>
      <c r="D37" s="59"/>
      <c r="E37" s="59"/>
      <c r="F37" s="59"/>
      <c r="G37" s="60"/>
    </row>
    <row r="38" spans="1:7" ht="20.25" x14ac:dyDescent="0.25">
      <c r="A38" s="65"/>
      <c r="B38" s="76">
        <v>18</v>
      </c>
      <c r="C38" s="89"/>
      <c r="D38" s="59"/>
      <c r="E38" s="59"/>
      <c r="F38" s="59"/>
      <c r="G38" s="60"/>
    </row>
    <row r="39" spans="1:7" ht="20.25" x14ac:dyDescent="0.25">
      <c r="A39" s="65"/>
      <c r="B39" s="77">
        <v>19</v>
      </c>
      <c r="C39" s="89"/>
      <c r="D39" s="59"/>
      <c r="E39" s="59"/>
      <c r="F39" s="59"/>
      <c r="G39" s="60"/>
    </row>
    <row r="40" spans="1:7" ht="20.25" x14ac:dyDescent="0.25">
      <c r="A40" s="65"/>
      <c r="B40" s="77">
        <v>20</v>
      </c>
      <c r="C40" s="90"/>
      <c r="D40" s="59"/>
      <c r="E40" s="59"/>
      <c r="F40" s="59"/>
      <c r="G40" s="60"/>
    </row>
    <row r="41" spans="1:7" ht="20.25" x14ac:dyDescent="0.25">
      <c r="A41" s="65"/>
      <c r="B41" s="76">
        <v>21</v>
      </c>
      <c r="C41" s="90"/>
      <c r="D41" s="59"/>
      <c r="E41" s="59"/>
      <c r="F41" s="59"/>
      <c r="G41" s="60"/>
    </row>
    <row r="42" spans="1:7" ht="20.25" x14ac:dyDescent="0.25">
      <c r="A42" s="65"/>
      <c r="B42" s="77">
        <v>22</v>
      </c>
      <c r="C42" s="89"/>
      <c r="D42" s="59"/>
      <c r="E42" s="59"/>
      <c r="F42" s="59"/>
      <c r="G42" s="60"/>
    </row>
    <row r="43" spans="1:7" ht="20.25" x14ac:dyDescent="0.25">
      <c r="A43" s="65"/>
      <c r="B43" s="77">
        <v>23</v>
      </c>
      <c r="C43" s="89"/>
      <c r="D43" s="59"/>
      <c r="E43" s="59"/>
      <c r="F43" s="59"/>
      <c r="G43" s="60"/>
    </row>
    <row r="44" spans="1:7" ht="20.25" x14ac:dyDescent="0.25">
      <c r="A44" s="65"/>
      <c r="B44" s="76">
        <v>24</v>
      </c>
      <c r="C44" s="89"/>
      <c r="D44" s="59"/>
      <c r="E44" s="59"/>
      <c r="F44" s="59"/>
      <c r="G44" s="60"/>
    </row>
    <row r="45" spans="1:7" ht="21" thickBot="1" x14ac:dyDescent="0.3">
      <c r="A45" s="65"/>
      <c r="B45" s="75">
        <v>25</v>
      </c>
      <c r="C45" s="92"/>
      <c r="D45" s="59"/>
      <c r="E45" s="59"/>
      <c r="F45" s="59"/>
      <c r="G45" s="60"/>
    </row>
    <row r="46" spans="1:7" x14ac:dyDescent="0.25">
      <c r="A46" s="65"/>
      <c r="B46" s="55"/>
      <c r="C46" s="59"/>
      <c r="D46" s="59"/>
      <c r="E46" s="59"/>
      <c r="F46" s="59"/>
      <c r="G46" s="60"/>
    </row>
    <row r="47" spans="1:7" x14ac:dyDescent="0.25">
      <c r="A47" s="65"/>
      <c r="B47" s="59"/>
      <c r="C47" s="59"/>
      <c r="D47" s="59"/>
      <c r="E47" s="59"/>
      <c r="F47" s="59"/>
      <c r="G47" s="60"/>
    </row>
    <row r="48" spans="1:7" x14ac:dyDescent="0.25">
      <c r="A48" s="65"/>
      <c r="B48" s="59"/>
      <c r="C48" s="59"/>
      <c r="D48" s="59"/>
      <c r="E48" s="59"/>
      <c r="F48" s="59"/>
      <c r="G48" s="60"/>
    </row>
    <row r="49" spans="1:7" x14ac:dyDescent="0.25">
      <c r="A49" s="65"/>
      <c r="B49" s="59"/>
      <c r="C49" s="59"/>
      <c r="D49" s="59"/>
      <c r="E49" s="59"/>
      <c r="F49" s="59"/>
      <c r="G49" s="60"/>
    </row>
    <row r="50" spans="1:7" x14ac:dyDescent="0.25">
      <c r="A50" s="65"/>
      <c r="B50" s="59"/>
      <c r="C50" s="59"/>
      <c r="D50" s="59"/>
      <c r="E50" s="59"/>
      <c r="F50" s="59"/>
      <c r="G50" s="60"/>
    </row>
    <row r="51" spans="1:7" x14ac:dyDescent="0.25">
      <c r="A51" s="65"/>
      <c r="B51" s="59"/>
      <c r="C51" s="59"/>
      <c r="D51" s="59"/>
      <c r="E51" s="59"/>
      <c r="F51" s="59"/>
      <c r="G51" s="60"/>
    </row>
    <row r="52" spans="1:7" x14ac:dyDescent="0.25">
      <c r="A52" s="65"/>
      <c r="B52" s="59"/>
      <c r="C52" s="59"/>
      <c r="D52" s="59"/>
      <c r="E52" s="59"/>
      <c r="F52" s="59"/>
      <c r="G52" s="60"/>
    </row>
    <row r="53" spans="1:7" x14ac:dyDescent="0.25">
      <c r="A53" s="65"/>
      <c r="B53" s="59"/>
      <c r="C53" s="59"/>
      <c r="D53" s="59"/>
      <c r="E53" s="59"/>
      <c r="F53" s="59"/>
      <c r="G53" s="60"/>
    </row>
    <row r="54" spans="1:7" ht="14.25" thickBot="1" x14ac:dyDescent="0.3">
      <c r="A54" s="66"/>
      <c r="B54" s="62"/>
      <c r="C54" s="62"/>
      <c r="D54" s="62"/>
      <c r="E54" s="62"/>
      <c r="F54" s="62"/>
      <c r="G54" s="63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14</v>
      </c>
      <c r="C2" s="15" t="s">
        <v>15</v>
      </c>
    </row>
    <row r="3" spans="1:4" ht="19.5" customHeight="1" x14ac:dyDescent="0.25">
      <c r="A3" s="19"/>
      <c r="B3" s="106" t="s">
        <v>13</v>
      </c>
      <c r="C3" s="16">
        <v>0</v>
      </c>
    </row>
    <row r="4" spans="1:4" ht="19.5" customHeight="1" x14ac:dyDescent="0.25">
      <c r="A4" s="19"/>
      <c r="B4" s="10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67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791EC-7933-403C-A8A2-85E34990DF4B}">
  <sheetPr codeName="Feuil9"/>
  <dimension ref="A1:H173"/>
  <sheetViews>
    <sheetView tabSelected="1" topLeftCell="A94" workbookViewId="0">
      <selection activeCell="F127" sqref="F12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95" t="s">
        <v>18</v>
      </c>
      <c r="B1" s="96">
        <v>1</v>
      </c>
      <c r="C1" s="97" t="s">
        <v>24</v>
      </c>
      <c r="D1" s="98">
        <f>Donnees!$C$9</f>
        <v>45602</v>
      </c>
    </row>
    <row r="2" spans="1:4" ht="27.75" thickBot="1" x14ac:dyDescent="0.3">
      <c r="A2" s="72" t="s">
        <v>19</v>
      </c>
      <c r="B2" s="73" t="s">
        <v>20</v>
      </c>
      <c r="C2" s="72" t="s">
        <v>21</v>
      </c>
      <c r="D2" s="72" t="s">
        <v>22</v>
      </c>
    </row>
    <row r="3" spans="1:4" s="52" customFormat="1" x14ac:dyDescent="0.25">
      <c r="A3" s="5" t="s">
        <v>13</v>
      </c>
      <c r="B3" s="4">
        <v>12</v>
      </c>
      <c r="C3" s="100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99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69" t="s">
        <v>23</v>
      </c>
      <c r="B18" s="69">
        <f>SUM(B3:B17)</f>
        <v>12</v>
      </c>
      <c r="C18" s="70" t="s">
        <v>26</v>
      </c>
      <c r="D18" s="71"/>
    </row>
    <row r="19" spans="1:8" ht="15" thickBot="1" x14ac:dyDescent="0.35">
      <c r="A19" s="74"/>
      <c r="B19" s="74"/>
      <c r="C19" s="74"/>
      <c r="D19" s="74"/>
    </row>
    <row r="20" spans="1:8" ht="18.75" thickBot="1" x14ac:dyDescent="0.3">
      <c r="A20" s="95" t="s">
        <v>18</v>
      </c>
      <c r="B20" s="96">
        <v>2</v>
      </c>
      <c r="C20" s="97" t="s">
        <v>24</v>
      </c>
      <c r="D20" s="98">
        <f>$D$1+7</f>
        <v>45609</v>
      </c>
    </row>
    <row r="21" spans="1:8" ht="27.75" thickBot="1" x14ac:dyDescent="0.3">
      <c r="A21" s="72" t="s">
        <v>19</v>
      </c>
      <c r="B21" s="73" t="s">
        <v>20</v>
      </c>
      <c r="C21" s="72" t="s">
        <v>21</v>
      </c>
      <c r="D21" s="72" t="s">
        <v>22</v>
      </c>
    </row>
    <row r="22" spans="1:8" x14ac:dyDescent="0.25">
      <c r="A22" s="5" t="s">
        <v>13</v>
      </c>
      <c r="B22" s="4">
        <v>12</v>
      </c>
      <c r="C22" s="100" t="s">
        <v>34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69" t="s">
        <v>23</v>
      </c>
      <c r="B37" s="69">
        <f>SUM(B22:B36)</f>
        <v>12</v>
      </c>
      <c r="C37" s="70" t="s">
        <v>26</v>
      </c>
      <c r="D37" s="71"/>
    </row>
    <row r="38" spans="1:8" ht="15" thickBot="1" x14ac:dyDescent="0.35">
      <c r="A38" s="74"/>
      <c r="B38" s="74"/>
      <c r="C38" s="74"/>
      <c r="D38" s="74"/>
    </row>
    <row r="39" spans="1:8" ht="18.75" thickBot="1" x14ac:dyDescent="0.3">
      <c r="A39" s="95" t="s">
        <v>18</v>
      </c>
      <c r="B39" s="96">
        <v>3</v>
      </c>
      <c r="C39" s="97" t="s">
        <v>24</v>
      </c>
      <c r="D39" s="98">
        <f>$D$20+7</f>
        <v>45616</v>
      </c>
    </row>
    <row r="40" spans="1:8" ht="27.75" thickBot="1" x14ac:dyDescent="0.3">
      <c r="A40" s="72" t="s">
        <v>19</v>
      </c>
      <c r="B40" s="73" t="s">
        <v>20</v>
      </c>
      <c r="C40" s="72" t="s">
        <v>21</v>
      </c>
      <c r="D40" s="72" t="s">
        <v>22</v>
      </c>
    </row>
    <row r="41" spans="1:8" ht="14.25" customHeight="1" x14ac:dyDescent="0.25">
      <c r="A41" s="5" t="s">
        <v>35</v>
      </c>
      <c r="B41" s="4">
        <v>2</v>
      </c>
      <c r="C41" s="100" t="s">
        <v>50</v>
      </c>
      <c r="D41" s="9"/>
    </row>
    <row r="42" spans="1:8" ht="14.25" customHeight="1" x14ac:dyDescent="0.25">
      <c r="A42" s="102" t="s">
        <v>32</v>
      </c>
      <c r="B42" s="103">
        <v>1</v>
      </c>
      <c r="C42" s="104" t="s">
        <v>49</v>
      </c>
      <c r="D42" s="105"/>
    </row>
    <row r="43" spans="1:8" x14ac:dyDescent="0.25">
      <c r="A43" s="1" t="s">
        <v>30</v>
      </c>
      <c r="B43" s="2">
        <v>2</v>
      </c>
      <c r="C43" s="101" t="s">
        <v>48</v>
      </c>
      <c r="D43" s="10"/>
    </row>
    <row r="44" spans="1:8" ht="27" x14ac:dyDescent="0.25">
      <c r="A44" s="1" t="s">
        <v>29</v>
      </c>
      <c r="B44" s="2">
        <v>5</v>
      </c>
      <c r="C44" s="101" t="s">
        <v>47</v>
      </c>
      <c r="D44" s="10"/>
    </row>
    <row r="45" spans="1:8" x14ac:dyDescent="0.25">
      <c r="A45" s="1" t="s">
        <v>31</v>
      </c>
      <c r="B45" s="2">
        <v>2</v>
      </c>
      <c r="C45" s="101" t="s">
        <v>46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50"/>
      <c r="B54" s="50"/>
      <c r="C54" s="51"/>
      <c r="D54" s="51"/>
    </row>
    <row r="55" spans="1:4" x14ac:dyDescent="0.25">
      <c r="A55" s="50"/>
      <c r="B55" s="50"/>
      <c r="C55" s="51"/>
      <c r="D55" s="51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69" t="s">
        <v>23</v>
      </c>
      <c r="B57" s="69">
        <f>SUM(B41:B56)</f>
        <v>12</v>
      </c>
      <c r="C57" s="70" t="s">
        <v>26</v>
      </c>
      <c r="D57" s="71"/>
    </row>
    <row r="58" spans="1:4" ht="15" thickBot="1" x14ac:dyDescent="0.35">
      <c r="A58" s="74"/>
      <c r="B58" s="74"/>
      <c r="C58" s="74"/>
      <c r="D58" s="74"/>
    </row>
    <row r="59" spans="1:4" ht="18.75" thickBot="1" x14ac:dyDescent="0.3">
      <c r="A59" s="95" t="s">
        <v>18</v>
      </c>
      <c r="B59" s="96">
        <v>4</v>
      </c>
      <c r="C59" s="97" t="s">
        <v>24</v>
      </c>
      <c r="D59" s="98">
        <f>$D$39+7</f>
        <v>45623</v>
      </c>
    </row>
    <row r="60" spans="1:4" ht="27.75" thickBot="1" x14ac:dyDescent="0.3">
      <c r="A60" s="72" t="s">
        <v>19</v>
      </c>
      <c r="B60" s="73" t="s">
        <v>20</v>
      </c>
      <c r="C60" s="72" t="s">
        <v>21</v>
      </c>
      <c r="D60" s="72" t="s">
        <v>22</v>
      </c>
    </row>
    <row r="61" spans="1:4" x14ac:dyDescent="0.25">
      <c r="A61" s="5" t="s">
        <v>13</v>
      </c>
      <c r="B61" s="4">
        <v>12</v>
      </c>
      <c r="C61" s="100" t="s">
        <v>37</v>
      </c>
      <c r="D61" s="9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50"/>
      <c r="B73" s="50"/>
      <c r="C73" s="51"/>
      <c r="D73" s="51"/>
    </row>
    <row r="74" spans="1:4" x14ac:dyDescent="0.25">
      <c r="A74" s="50"/>
      <c r="B74" s="50"/>
      <c r="C74" s="51"/>
      <c r="D74" s="51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69" t="s">
        <v>23</v>
      </c>
      <c r="B76" s="69">
        <f>SUM(B61:B75)</f>
        <v>12</v>
      </c>
      <c r="C76" s="70" t="s">
        <v>26</v>
      </c>
      <c r="D76" s="71"/>
    </row>
    <row r="77" spans="1:4" ht="15" thickBot="1" x14ac:dyDescent="0.35">
      <c r="A77" s="74"/>
      <c r="B77" s="74"/>
      <c r="C77" s="74"/>
      <c r="D77" s="74"/>
    </row>
    <row r="78" spans="1:4" ht="18.75" thickBot="1" x14ac:dyDescent="0.3">
      <c r="A78" s="95" t="s">
        <v>18</v>
      </c>
      <c r="B78" s="96">
        <v>5</v>
      </c>
      <c r="C78" s="97" t="s">
        <v>24</v>
      </c>
      <c r="D78" s="98">
        <f>$D$59+7</f>
        <v>45630</v>
      </c>
    </row>
    <row r="79" spans="1:4" ht="27.75" thickBot="1" x14ac:dyDescent="0.3">
      <c r="A79" s="72" t="s">
        <v>19</v>
      </c>
      <c r="B79" s="73" t="s">
        <v>20</v>
      </c>
      <c r="C79" s="72" t="s">
        <v>21</v>
      </c>
      <c r="D79" s="72" t="s">
        <v>22</v>
      </c>
    </row>
    <row r="80" spans="1:4" x14ac:dyDescent="0.25">
      <c r="A80" s="5" t="s">
        <v>13</v>
      </c>
      <c r="B80" s="4">
        <v>12</v>
      </c>
      <c r="C80" s="100" t="s">
        <v>37</v>
      </c>
      <c r="D80" s="9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50"/>
      <c r="B92" s="50"/>
      <c r="C92" s="51"/>
      <c r="D92" s="51"/>
    </row>
    <row r="93" spans="1:4" x14ac:dyDescent="0.25">
      <c r="A93" s="50"/>
      <c r="B93" s="50"/>
      <c r="C93" s="51"/>
      <c r="D93" s="51"/>
    </row>
    <row r="94" spans="1:4" ht="14.25" thickBot="1" x14ac:dyDescent="0.3">
      <c r="A94" s="3"/>
      <c r="B94" s="3"/>
      <c r="C94" s="11"/>
      <c r="D94" s="11"/>
    </row>
    <row r="95" spans="1:4" ht="14.25" thickBot="1" x14ac:dyDescent="0.3">
      <c r="A95" s="69" t="s">
        <v>23</v>
      </c>
      <c r="B95" s="69">
        <f>SUM(B80:B94)</f>
        <v>12</v>
      </c>
      <c r="C95" s="70" t="s">
        <v>26</v>
      </c>
      <c r="D95" s="71"/>
    </row>
    <row r="96" spans="1:4" ht="15" thickBot="1" x14ac:dyDescent="0.35">
      <c r="A96" s="74"/>
      <c r="B96" s="74"/>
      <c r="C96" s="74"/>
      <c r="D96" s="74"/>
    </row>
    <row r="97" spans="1:4" ht="18.75" thickBot="1" x14ac:dyDescent="0.3">
      <c r="A97" s="95" t="s">
        <v>18</v>
      </c>
      <c r="B97" s="96">
        <v>6</v>
      </c>
      <c r="C97" s="97" t="s">
        <v>24</v>
      </c>
      <c r="D97" s="98">
        <f>$D$78+7</f>
        <v>45637</v>
      </c>
    </row>
    <row r="98" spans="1:4" ht="27.75" thickBot="1" x14ac:dyDescent="0.3">
      <c r="A98" s="72" t="s">
        <v>19</v>
      </c>
      <c r="B98" s="73" t="s">
        <v>20</v>
      </c>
      <c r="C98" s="72" t="s">
        <v>21</v>
      </c>
      <c r="D98" s="72" t="s">
        <v>22</v>
      </c>
    </row>
    <row r="99" spans="1:4" x14ac:dyDescent="0.25">
      <c r="A99" s="5" t="s">
        <v>31</v>
      </c>
      <c r="B99" s="4">
        <v>6</v>
      </c>
      <c r="C99" s="100" t="s">
        <v>45</v>
      </c>
      <c r="D99" s="9"/>
    </row>
    <row r="100" spans="1:4" x14ac:dyDescent="0.25">
      <c r="A100" s="1" t="s">
        <v>31</v>
      </c>
      <c r="B100" s="2">
        <v>3</v>
      </c>
      <c r="C100" s="101" t="s">
        <v>44</v>
      </c>
      <c r="D100" s="10"/>
    </row>
    <row r="101" spans="1:4" x14ac:dyDescent="0.25">
      <c r="A101" s="1" t="s">
        <v>38</v>
      </c>
      <c r="B101" s="2">
        <v>3</v>
      </c>
      <c r="C101" s="101" t="s">
        <v>43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50"/>
      <c r="B111" s="50"/>
      <c r="C111" s="51"/>
      <c r="D111" s="51"/>
    </row>
    <row r="112" spans="1:4" x14ac:dyDescent="0.25">
      <c r="A112" s="50"/>
      <c r="B112" s="50"/>
      <c r="C112" s="51"/>
      <c r="D112" s="51"/>
    </row>
    <row r="113" spans="1:4" ht="14.25" thickBot="1" x14ac:dyDescent="0.3">
      <c r="A113" s="3"/>
      <c r="B113" s="3"/>
      <c r="C113" s="11"/>
      <c r="D113" s="11"/>
    </row>
    <row r="114" spans="1:4" ht="14.25" thickBot="1" x14ac:dyDescent="0.3">
      <c r="A114" s="69" t="s">
        <v>23</v>
      </c>
      <c r="B114" s="69">
        <f>SUM(B99:B113)</f>
        <v>12</v>
      </c>
      <c r="C114" s="70" t="s">
        <v>26</v>
      </c>
      <c r="D114" s="71"/>
    </row>
    <row r="115" spans="1:4" ht="15" thickBot="1" x14ac:dyDescent="0.35">
      <c r="A115" s="74"/>
      <c r="B115" s="74"/>
      <c r="C115" s="74"/>
      <c r="D115" s="74"/>
    </row>
    <row r="116" spans="1:4" ht="18.75" thickBot="1" x14ac:dyDescent="0.3">
      <c r="A116" s="95" t="s">
        <v>18</v>
      </c>
      <c r="B116" s="96">
        <v>7</v>
      </c>
      <c r="C116" s="97" t="s">
        <v>24</v>
      </c>
      <c r="D116" s="98">
        <f>$D$97+7</f>
        <v>45644</v>
      </c>
    </row>
    <row r="117" spans="1:4" ht="27.75" thickBot="1" x14ac:dyDescent="0.3">
      <c r="A117" s="72" t="s">
        <v>19</v>
      </c>
      <c r="B117" s="73" t="s">
        <v>20</v>
      </c>
      <c r="C117" s="72" t="s">
        <v>21</v>
      </c>
      <c r="D117" s="72" t="s">
        <v>22</v>
      </c>
    </row>
    <row r="118" spans="1:4" x14ac:dyDescent="0.25">
      <c r="A118" s="5" t="s">
        <v>31</v>
      </c>
      <c r="B118" s="4">
        <v>15</v>
      </c>
      <c r="C118" s="100" t="s">
        <v>42</v>
      </c>
      <c r="D118" s="9"/>
    </row>
    <row r="119" spans="1:4" x14ac:dyDescent="0.25">
      <c r="A119" s="1" t="s">
        <v>29</v>
      </c>
      <c r="B119" s="2">
        <v>6</v>
      </c>
      <c r="C119" s="101" t="s">
        <v>41</v>
      </c>
      <c r="D119" s="10"/>
    </row>
    <row r="120" spans="1:4" x14ac:dyDescent="0.25">
      <c r="A120" s="1" t="s">
        <v>31</v>
      </c>
      <c r="B120" s="2">
        <v>5</v>
      </c>
      <c r="C120" s="101" t="s">
        <v>40</v>
      </c>
      <c r="D120" s="10"/>
    </row>
    <row r="121" spans="1:4" x14ac:dyDescent="0.25">
      <c r="A121" s="1" t="s">
        <v>30</v>
      </c>
      <c r="B121" s="2">
        <v>1</v>
      </c>
      <c r="C121" s="101" t="s">
        <v>51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50"/>
      <c r="B130" s="50"/>
      <c r="C130" s="51"/>
      <c r="D130" s="51"/>
    </row>
    <row r="131" spans="1:4" x14ac:dyDescent="0.25">
      <c r="A131" s="50"/>
      <c r="B131" s="50"/>
      <c r="C131" s="51"/>
      <c r="D131" s="51"/>
    </row>
    <row r="132" spans="1:4" ht="14.25" thickBot="1" x14ac:dyDescent="0.3">
      <c r="A132" s="3"/>
      <c r="B132" s="3"/>
      <c r="C132" s="11"/>
      <c r="D132" s="11"/>
    </row>
    <row r="133" spans="1:4" ht="14.25" thickBot="1" x14ac:dyDescent="0.3">
      <c r="A133" s="69" t="s">
        <v>23</v>
      </c>
      <c r="B133" s="69">
        <f>SUM(B118:B132)</f>
        <v>27</v>
      </c>
      <c r="C133" s="70" t="s">
        <v>39</v>
      </c>
      <c r="D133" s="71"/>
    </row>
    <row r="134" spans="1:4" ht="14.25" x14ac:dyDescent="0.3">
      <c r="A134" s="74"/>
      <c r="B134" s="74"/>
      <c r="C134" s="74"/>
      <c r="D134" s="74"/>
    </row>
    <row r="173" spans="1:1" x14ac:dyDescent="0.25">
      <c r="A173" s="68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192A064-8139-4AF9-9A1D-15C94558E04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6 B61:B75 B80:B94 B99:B113 B118:B132 B137:B151 B156:B170" xr:uid="{95050DD9-C1F5-43DD-9C46-CE4A46C2B7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7 B76 B95 B114 B133 B152 B171" xr:uid="{6CD85698-0ED1-417D-8E10-B4E4CC9FE4F5}">
      <formula1>0</formula1>
      <formula2>NbPerWeek * NbQuartPer</formula2>
    </dataValidation>
    <dataValidation type="list" allowBlank="1" showInputMessage="1" showErrorMessage="1" sqref="A3:A17 A22:A36 A41:A56 A61:A75 A80:A94 A99:A113 A118:A132 A137:A151 A156:A170" xr:uid="{3B579BD7-4762-4653-9B87-C13CB7ADD67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Dürrenmatt</dc:creator>
  <cp:keywords/>
  <dc:description/>
  <cp:lastModifiedBy>Alexandre Dürrenmatt</cp:lastModifiedBy>
  <cp:revision/>
  <dcterms:created xsi:type="dcterms:W3CDTF">1996-10-21T11:03:58Z</dcterms:created>
  <dcterms:modified xsi:type="dcterms:W3CDTF">2024-12-18T14:43:52Z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